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jaspi statistik\pdf jaspi\Tugas Semester 4\Tugas Semester 4\LAPORAN PL\TUGAS SEMESTER 6\"/>
    </mc:Choice>
  </mc:AlternateContent>
  <xr:revisionPtr revIDLastSave="0" documentId="8_{A063CAC6-1B61-4AD8-B451-D87EB8E1CD59}" xr6:coauthVersionLast="47" xr6:coauthVersionMax="47" xr10:uidLastSave="{00000000-0000-0000-0000-000000000000}"/>
  <bookViews>
    <workbookView xWindow="-110" yWindow="-110" windowWidth="19420" windowHeight="10300" xr2:uid="{34181D11-4964-48D6-887E-683E150410F2}"/>
  </bookViews>
  <sheets>
    <sheet name="Sheet1" sheetId="1" r:id="rId1"/>
  </sheets>
  <definedNames>
    <definedName name="_xlchart.v1.0" hidden="1">Sheet1!$L$11:$L$16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  <c r="L15" i="1"/>
  <c r="L14" i="1"/>
  <c r="L13" i="1"/>
  <c r="L12" i="1"/>
  <c r="L11" i="1"/>
  <c r="H47" i="1"/>
  <c r="G47" i="1"/>
  <c r="F47" i="1"/>
  <c r="E47" i="1"/>
  <c r="F46" i="1"/>
  <c r="E46" i="1"/>
  <c r="H39" i="1"/>
  <c r="F39" i="1"/>
  <c r="E39" i="1"/>
  <c r="F38" i="1"/>
  <c r="E38" i="1"/>
  <c r="H31" i="1"/>
  <c r="F31" i="1"/>
  <c r="E31" i="1"/>
  <c r="F30" i="1"/>
  <c r="E30" i="1"/>
  <c r="H23" i="1"/>
  <c r="F23" i="1"/>
  <c r="E23" i="1"/>
  <c r="F22" i="1"/>
  <c r="E22" i="1"/>
  <c r="H16" i="1"/>
  <c r="F16" i="1"/>
  <c r="E16" i="1"/>
  <c r="F15" i="1"/>
  <c r="E15" i="1"/>
  <c r="H8" i="1"/>
  <c r="F8" i="1"/>
  <c r="E8" i="1"/>
  <c r="F7" i="1"/>
  <c r="E7" i="1"/>
  <c r="G39" i="1"/>
  <c r="G31" i="1"/>
  <c r="G23" i="1"/>
  <c r="G16" i="1"/>
  <c r="G8" i="1" l="1"/>
</calcChain>
</file>

<file path=xl/sharedStrings.xml><?xml version="1.0" encoding="utf-8"?>
<sst xmlns="http://schemas.openxmlformats.org/spreadsheetml/2006/main" count="59" uniqueCount="21">
  <si>
    <t>Performance</t>
  </si>
  <si>
    <t>Penilaian</t>
  </si>
  <si>
    <t>STS(1)</t>
  </si>
  <si>
    <t>TS (2)</t>
  </si>
  <si>
    <t>N (3)</t>
  </si>
  <si>
    <t>S (4)</t>
  </si>
  <si>
    <t>SS (5)</t>
  </si>
  <si>
    <t>Pertanyaan 1</t>
  </si>
  <si>
    <t>Pertanyaan 2</t>
  </si>
  <si>
    <t>Information</t>
  </si>
  <si>
    <t>Economy</t>
  </si>
  <si>
    <t>STS (1)</t>
  </si>
  <si>
    <t xml:space="preserve">TS (2) </t>
  </si>
  <si>
    <t>Control</t>
  </si>
  <si>
    <t>Efficiency</t>
  </si>
  <si>
    <t>Service</t>
  </si>
  <si>
    <t>sangat tidak setuju </t>
  </si>
  <si>
    <t>tidak setuju </t>
  </si>
  <si>
    <t xml:space="preserve"> netral </t>
  </si>
  <si>
    <t xml:space="preserve"> setuju</t>
  </si>
  <si>
    <t xml:space="preserve"> sangat setuju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</si>
</sst>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Sheet1!$L$11:$L$16</c:f>
              <c:numCache>
                <c:formatCode>General</c:formatCode>
                <c:ptCount val="6"/>
                <c:pt idx="0">
                  <c:v>4.4111111111111114</c:v>
                </c:pt>
                <c:pt idx="1">
                  <c:v>4.5</c:v>
                </c:pt>
                <c:pt idx="2">
                  <c:v>4.4000000000000004</c:v>
                </c:pt>
                <c:pt idx="3">
                  <c:v>4.4222222222222225</c:v>
                </c:pt>
                <c:pt idx="4">
                  <c:v>4.4666666666666668</c:v>
                </c:pt>
                <c:pt idx="5">
                  <c:v>4.4111111111111114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0-48DB-A463-8E1DCC322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081312"/>
        <c:axId val="1294076992"/>
      </c:radarChart>
      <c:catAx>
        <c:axId val="129408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76992"/>
        <c:crosses val="autoZero"/>
        <c:auto val="1"/>
        <c:lblAlgn val="ctr"/>
        <c:lblOffset val="100"/>
        <c:noMultiLvlLbl val="0"/>
      </c:catAx>
      <c:valAx>
        <c:axId val="129407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8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79375</xdr:colOff>
      <xdr:row>8</xdr:row>
      <xdr:rowOff>120650</xdr:rowOff>
    </xdr:from>
    <xdr:to>
      <xdr:col>19</xdr:col>
      <xdr:colOff>384175</xdr:colOff>
      <xdr:row>22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CDE28-F2A9-903D-1643-EBD0236ED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1189-AB55-484C-9076-95ABF6D89604}">
  <dimension ref="A3:P47"/>
  <sheetViews>
    <sheetView tabSelected="1" workbookViewId="0">
      <selection activeCell="P24" sqref="P24"/>
    </sheetView>
  </sheetViews>
  <sheetFormatPr defaultRowHeight="14.5" x14ac:dyDescent="0.35"/>
  <cols>
    <col min="1" max="1" width="13.1796875" customWidth="1"/>
  </cols>
  <sheetData>
    <row r="3" spans="1:16" ht="15.5" x14ac:dyDescent="0.35">
      <c r="A3" s="1" t="s">
        <v>0</v>
      </c>
    </row>
    <row r="4" spans="1:16" ht="15.5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N4" s="2">
        <v>1</v>
      </c>
      <c r="O4" s="2">
        <v>1.8</v>
      </c>
      <c r="P4" s="3" t="s">
        <v>16</v>
      </c>
    </row>
    <row r="5" spans="1:16" ht="31" x14ac:dyDescent="0.35">
      <c r="A5" s="2" t="s">
        <v>7</v>
      </c>
      <c r="B5" s="2"/>
      <c r="C5" s="2"/>
      <c r="D5" s="2"/>
      <c r="E5" s="2">
        <v>43</v>
      </c>
      <c r="F5" s="2">
        <v>2</v>
      </c>
      <c r="N5" s="2">
        <v>1.81</v>
      </c>
      <c r="O5" s="2">
        <v>2.6</v>
      </c>
      <c r="P5" s="4" t="s">
        <v>17</v>
      </c>
    </row>
    <row r="6" spans="1:16" ht="15.5" x14ac:dyDescent="0.35">
      <c r="A6" s="2" t="s">
        <v>8</v>
      </c>
      <c r="B6" s="2"/>
      <c r="C6" s="2"/>
      <c r="D6" s="2"/>
      <c r="E6" s="2">
        <v>10</v>
      </c>
      <c r="F6" s="2">
        <v>35</v>
      </c>
      <c r="N6" s="2">
        <v>2.61</v>
      </c>
      <c r="O6" s="2">
        <v>3.4</v>
      </c>
      <c r="P6" s="4" t="s">
        <v>18</v>
      </c>
    </row>
    <row r="7" spans="1:16" ht="15.5" x14ac:dyDescent="0.35">
      <c r="A7" s="2"/>
      <c r="B7" s="2"/>
      <c r="C7" s="2"/>
      <c r="D7" s="2"/>
      <c r="E7" s="2">
        <f>SUM(E5:E6)</f>
        <v>53</v>
      </c>
      <c r="F7" s="2">
        <f>SUM(F5:F6)</f>
        <v>37</v>
      </c>
      <c r="N7" s="2">
        <v>3.41</v>
      </c>
      <c r="O7" s="2">
        <v>4.2</v>
      </c>
      <c r="P7" s="4" t="s">
        <v>19</v>
      </c>
    </row>
    <row r="8" spans="1:16" ht="31" x14ac:dyDescent="0.35">
      <c r="A8" s="2"/>
      <c r="B8" s="2"/>
      <c r="C8" s="2"/>
      <c r="D8" s="2"/>
      <c r="E8" s="2">
        <f>E7*4</f>
        <v>212</v>
      </c>
      <c r="F8" s="2">
        <f>F7*5</f>
        <v>185</v>
      </c>
      <c r="G8">
        <f>SUM(D8:F8)</f>
        <v>397</v>
      </c>
      <c r="H8">
        <f>G8/90</f>
        <v>4.4111111111111114</v>
      </c>
      <c r="N8" s="2">
        <v>4.21</v>
      </c>
      <c r="O8" s="2">
        <v>5</v>
      </c>
      <c r="P8" s="4" t="s">
        <v>20</v>
      </c>
    </row>
    <row r="11" spans="1:16" ht="15.5" x14ac:dyDescent="0.35">
      <c r="A11" s="1" t="s">
        <v>9</v>
      </c>
      <c r="L11">
        <f>H8</f>
        <v>4.4111111111111114</v>
      </c>
    </row>
    <row r="12" spans="1:16" ht="15.5" x14ac:dyDescent="0.3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L12">
        <f>H16</f>
        <v>4.5</v>
      </c>
    </row>
    <row r="13" spans="1:16" ht="15.5" x14ac:dyDescent="0.35">
      <c r="A13" s="2" t="s">
        <v>7</v>
      </c>
      <c r="B13" s="2"/>
      <c r="C13" s="2"/>
      <c r="D13" s="2"/>
      <c r="E13" s="2">
        <v>25</v>
      </c>
      <c r="F13" s="2">
        <v>20</v>
      </c>
      <c r="L13">
        <f>H23</f>
        <v>4.4000000000000004</v>
      </c>
    </row>
    <row r="14" spans="1:16" ht="15.5" x14ac:dyDescent="0.35">
      <c r="A14" s="2" t="s">
        <v>8</v>
      </c>
      <c r="B14" s="2"/>
      <c r="C14" s="2"/>
      <c r="D14" s="2"/>
      <c r="E14" s="2">
        <v>20</v>
      </c>
      <c r="F14" s="2">
        <v>25</v>
      </c>
      <c r="L14">
        <f>H31</f>
        <v>4.4222222222222225</v>
      </c>
    </row>
    <row r="15" spans="1:16" ht="15.5" x14ac:dyDescent="0.35">
      <c r="A15" s="2"/>
      <c r="B15" s="2"/>
      <c r="C15" s="2"/>
      <c r="D15" s="2"/>
      <c r="E15" s="2">
        <f>SUM(E13:E14)</f>
        <v>45</v>
      </c>
      <c r="F15" s="2">
        <f>SUM(F13:F14)</f>
        <v>45</v>
      </c>
      <c r="L15">
        <f>H39</f>
        <v>4.4666666666666668</v>
      </c>
    </row>
    <row r="16" spans="1:16" ht="15.5" x14ac:dyDescent="0.35">
      <c r="A16" s="2"/>
      <c r="B16" s="2"/>
      <c r="C16" s="2"/>
      <c r="D16" s="2"/>
      <c r="E16" s="2">
        <f>E15*4</f>
        <v>180</v>
      </c>
      <c r="F16" s="2">
        <f>F15*5</f>
        <v>225</v>
      </c>
      <c r="G16">
        <f>SUM(C16:F16)</f>
        <v>405</v>
      </c>
      <c r="H16">
        <f>G16/90</f>
        <v>4.5</v>
      </c>
      <c r="L16">
        <f>H47</f>
        <v>4.4111111111111114</v>
      </c>
    </row>
    <row r="18" spans="1:8" ht="15.5" x14ac:dyDescent="0.35">
      <c r="A18" s="1" t="s">
        <v>10</v>
      </c>
    </row>
    <row r="19" spans="1:8" ht="15.5" x14ac:dyDescent="0.35">
      <c r="A19" s="2" t="s">
        <v>1</v>
      </c>
      <c r="B19" s="2" t="s">
        <v>11</v>
      </c>
      <c r="C19" s="2" t="s">
        <v>12</v>
      </c>
      <c r="D19" s="2" t="s">
        <v>4</v>
      </c>
      <c r="E19" s="2" t="s">
        <v>5</v>
      </c>
      <c r="F19" s="2" t="s">
        <v>6</v>
      </c>
    </row>
    <row r="20" spans="1:8" ht="15.5" x14ac:dyDescent="0.35">
      <c r="A20" s="2" t="s">
        <v>7</v>
      </c>
      <c r="B20" s="2"/>
      <c r="C20" s="2"/>
      <c r="D20" s="2"/>
      <c r="E20" s="2">
        <v>31</v>
      </c>
      <c r="F20" s="2">
        <v>14</v>
      </c>
    </row>
    <row r="21" spans="1:8" ht="15.5" x14ac:dyDescent="0.35">
      <c r="A21" s="2" t="s">
        <v>8</v>
      </c>
      <c r="B21" s="2"/>
      <c r="C21" s="2"/>
      <c r="D21" s="2"/>
      <c r="E21" s="2">
        <v>23</v>
      </c>
      <c r="F21" s="2">
        <v>22</v>
      </c>
    </row>
    <row r="22" spans="1:8" ht="15.5" x14ac:dyDescent="0.35">
      <c r="A22" s="2"/>
      <c r="B22" s="2"/>
      <c r="C22" s="2"/>
      <c r="D22" s="2"/>
      <c r="E22" s="2">
        <f>SUM(E20:E21)</f>
        <v>54</v>
      </c>
      <c r="F22" s="2">
        <f>SUM(F20:F21)</f>
        <v>36</v>
      </c>
    </row>
    <row r="23" spans="1:8" ht="15.5" x14ac:dyDescent="0.35">
      <c r="A23" s="2"/>
      <c r="B23" s="2"/>
      <c r="C23" s="2"/>
      <c r="D23" s="2"/>
      <c r="E23" s="2">
        <f>E22*4</f>
        <v>216</v>
      </c>
      <c r="F23" s="2">
        <f>F22*5</f>
        <v>180</v>
      </c>
      <c r="G23">
        <f>SUM(D23:F23)</f>
        <v>396</v>
      </c>
      <c r="H23">
        <f>G23/90</f>
        <v>4.4000000000000004</v>
      </c>
    </row>
    <row r="26" spans="1:8" ht="15.5" x14ac:dyDescent="0.35">
      <c r="A26" s="1" t="s">
        <v>13</v>
      </c>
    </row>
    <row r="27" spans="1:8" ht="15.5" x14ac:dyDescent="0.35">
      <c r="A27" s="2" t="s">
        <v>1</v>
      </c>
      <c r="B27" s="2" t="s">
        <v>11</v>
      </c>
      <c r="C27" s="2" t="s">
        <v>12</v>
      </c>
      <c r="D27" s="2" t="s">
        <v>4</v>
      </c>
      <c r="E27" s="2" t="s">
        <v>5</v>
      </c>
      <c r="F27" s="2" t="s">
        <v>6</v>
      </c>
    </row>
    <row r="28" spans="1:8" ht="15.5" x14ac:dyDescent="0.35">
      <c r="A28" s="2" t="s">
        <v>7</v>
      </c>
      <c r="B28" s="2"/>
      <c r="C28" s="2"/>
      <c r="D28" s="2"/>
      <c r="E28" s="2">
        <v>27</v>
      </c>
      <c r="F28" s="2">
        <v>18</v>
      </c>
    </row>
    <row r="29" spans="1:8" ht="15.5" x14ac:dyDescent="0.35">
      <c r="A29" s="2" t="s">
        <v>8</v>
      </c>
      <c r="B29" s="2"/>
      <c r="C29" s="2"/>
      <c r="D29" s="2"/>
      <c r="E29" s="2">
        <v>25</v>
      </c>
      <c r="F29" s="2">
        <v>20</v>
      </c>
    </row>
    <row r="30" spans="1:8" ht="15.5" x14ac:dyDescent="0.35">
      <c r="A30" s="2"/>
      <c r="B30" s="2"/>
      <c r="C30" s="2"/>
      <c r="D30" s="2"/>
      <c r="E30" s="2">
        <f>SUM(E28:E29)</f>
        <v>52</v>
      </c>
      <c r="F30" s="2">
        <f>SUM(F28:F29)</f>
        <v>38</v>
      </c>
    </row>
    <row r="31" spans="1:8" ht="15.5" x14ac:dyDescent="0.35">
      <c r="A31" s="2"/>
      <c r="B31" s="2"/>
      <c r="C31" s="2"/>
      <c r="D31" s="2"/>
      <c r="E31" s="2">
        <f>E30*4</f>
        <v>208</v>
      </c>
      <c r="F31" s="2">
        <f>F30*5</f>
        <v>190</v>
      </c>
      <c r="G31">
        <f>SUM(D31:F31)</f>
        <v>398</v>
      </c>
      <c r="H31">
        <f>G31/90</f>
        <v>4.4222222222222225</v>
      </c>
    </row>
    <row r="34" spans="1:8" ht="15.5" x14ac:dyDescent="0.35">
      <c r="A34" s="1" t="s">
        <v>14</v>
      </c>
    </row>
    <row r="35" spans="1:8" ht="15.5" x14ac:dyDescent="0.35">
      <c r="A35" s="2" t="s">
        <v>1</v>
      </c>
      <c r="B35" s="2" t="s">
        <v>11</v>
      </c>
      <c r="C35" s="2" t="s">
        <v>12</v>
      </c>
      <c r="D35" s="2" t="s">
        <v>4</v>
      </c>
      <c r="E35" s="2" t="s">
        <v>5</v>
      </c>
      <c r="F35" s="2" t="s">
        <v>6</v>
      </c>
    </row>
    <row r="36" spans="1:8" ht="15.5" x14ac:dyDescent="0.35">
      <c r="A36" s="2" t="s">
        <v>7</v>
      </c>
      <c r="B36" s="2"/>
      <c r="C36" s="2"/>
      <c r="D36" s="2"/>
      <c r="E36" s="2">
        <v>23</v>
      </c>
      <c r="F36" s="2">
        <v>22</v>
      </c>
    </row>
    <row r="37" spans="1:8" ht="15.5" x14ac:dyDescent="0.35">
      <c r="A37" s="2" t="s">
        <v>8</v>
      </c>
      <c r="B37" s="2"/>
      <c r="C37" s="2"/>
      <c r="D37" s="2"/>
      <c r="E37" s="2">
        <v>25</v>
      </c>
      <c r="F37" s="2">
        <v>20</v>
      </c>
    </row>
    <row r="38" spans="1:8" ht="15.5" x14ac:dyDescent="0.35">
      <c r="A38" s="2"/>
      <c r="B38" s="2"/>
      <c r="C38" s="2"/>
      <c r="D38" s="2"/>
      <c r="E38" s="2">
        <f>SUM(E36:E37)</f>
        <v>48</v>
      </c>
      <c r="F38" s="2">
        <f>SUM(F36:F37)</f>
        <v>42</v>
      </c>
    </row>
    <row r="39" spans="1:8" ht="15.5" x14ac:dyDescent="0.35">
      <c r="A39" s="2"/>
      <c r="B39" s="2"/>
      <c r="C39" s="2"/>
      <c r="D39" s="2"/>
      <c r="E39" s="2">
        <f>E38*4</f>
        <v>192</v>
      </c>
      <c r="F39" s="2">
        <f>F38*5</f>
        <v>210</v>
      </c>
      <c r="G39">
        <f>SUM(C39:F39)</f>
        <v>402</v>
      </c>
      <c r="H39">
        <f>G39/90</f>
        <v>4.4666666666666668</v>
      </c>
    </row>
    <row r="42" spans="1:8" ht="15.5" x14ac:dyDescent="0.35">
      <c r="A42" s="1" t="s">
        <v>15</v>
      </c>
    </row>
    <row r="43" spans="1:8" ht="15.5" x14ac:dyDescent="0.35">
      <c r="A43" s="2" t="s">
        <v>1</v>
      </c>
      <c r="B43" s="2" t="s">
        <v>11</v>
      </c>
      <c r="C43" s="2" t="s">
        <v>12</v>
      </c>
      <c r="D43" s="2" t="s">
        <v>4</v>
      </c>
      <c r="E43" s="2" t="s">
        <v>5</v>
      </c>
      <c r="F43" s="2" t="s">
        <v>6</v>
      </c>
    </row>
    <row r="44" spans="1:8" ht="15.5" x14ac:dyDescent="0.35">
      <c r="A44" s="2" t="s">
        <v>7</v>
      </c>
      <c r="B44" s="2"/>
      <c r="C44" s="2"/>
      <c r="D44" s="2"/>
      <c r="E44" s="2">
        <v>22</v>
      </c>
      <c r="F44" s="2">
        <v>23</v>
      </c>
    </row>
    <row r="45" spans="1:8" ht="15.5" x14ac:dyDescent="0.35">
      <c r="A45" s="2" t="s">
        <v>8</v>
      </c>
      <c r="B45" s="2"/>
      <c r="C45" s="2"/>
      <c r="D45" s="2"/>
      <c r="E45" s="2">
        <v>31</v>
      </c>
      <c r="F45" s="2">
        <v>14</v>
      </c>
    </row>
    <row r="46" spans="1:8" ht="15.5" x14ac:dyDescent="0.35">
      <c r="A46" s="2"/>
      <c r="B46" s="2"/>
      <c r="C46" s="2"/>
      <c r="D46" s="2"/>
      <c r="E46" s="2">
        <f>SUM(E44:E45)</f>
        <v>53</v>
      </c>
      <c r="F46" s="2">
        <f>SUM(F44:F45)</f>
        <v>37</v>
      </c>
    </row>
    <row r="47" spans="1:8" ht="15.5" x14ac:dyDescent="0.35">
      <c r="A47" s="2"/>
      <c r="B47" s="2"/>
      <c r="C47" s="2"/>
      <c r="D47" s="2"/>
      <c r="E47" s="2">
        <f>E46*4</f>
        <v>212</v>
      </c>
      <c r="F47" s="2">
        <f>F46*5</f>
        <v>185</v>
      </c>
      <c r="G47">
        <f>E47+F47</f>
        <v>397</v>
      </c>
      <c r="H47">
        <f>G47/90</f>
        <v>4.4111111111111114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A1400EA FHD321</dc:creator>
  <cp:lastModifiedBy>ASUS A1400EA FHD321</cp:lastModifiedBy>
  <dcterms:created xsi:type="dcterms:W3CDTF">2026-05-31T11:16:48Z</dcterms:created>
  <dcterms:modified xsi:type="dcterms:W3CDTF">2026-05-31T11:57:47Z</dcterms:modified>
</cp:coreProperties>
</file>