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9A4D9B1-A83C-4A4C-8314-A820EC4FD040}" xr6:coauthVersionLast="47" xr6:coauthVersionMax="47" xr10:uidLastSave="{00000000-0000-0000-0000-000000000000}"/>
  <bookViews>
    <workbookView xWindow="-120" yWindow="-120" windowWidth="20730" windowHeight="11040" xr2:uid="{0C59C0EB-4D94-4595-BD7B-F9DCF5C58D1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5" i="1"/>
  <c r="M14" i="1"/>
  <c r="M13" i="1"/>
  <c r="M12" i="1"/>
  <c r="M11" i="1"/>
  <c r="H46" i="1"/>
  <c r="H38" i="1"/>
  <c r="H30" i="1"/>
  <c r="H22" i="1"/>
  <c r="H14" i="1"/>
  <c r="H7" i="1"/>
  <c r="G38" i="1"/>
  <c r="F30" i="1"/>
  <c r="E30" i="1"/>
  <c r="D30" i="1"/>
  <c r="C30" i="1"/>
  <c r="B30" i="1"/>
  <c r="G14" i="1"/>
  <c r="F46" i="1"/>
  <c r="E46" i="1"/>
  <c r="D46" i="1"/>
  <c r="C46" i="1"/>
  <c r="B46" i="1"/>
  <c r="F38" i="1"/>
  <c r="E38" i="1"/>
  <c r="D38" i="1"/>
  <c r="C38" i="1"/>
  <c r="B38" i="1"/>
  <c r="F14" i="1"/>
  <c r="E14" i="1"/>
  <c r="D14" i="1"/>
  <c r="C14" i="1"/>
  <c r="B14" i="1"/>
  <c r="F22" i="1"/>
  <c r="E22" i="1"/>
  <c r="D22" i="1"/>
  <c r="G22" i="1" s="1"/>
  <c r="C22" i="1"/>
  <c r="B22" i="1"/>
  <c r="G7" i="1"/>
  <c r="F7" i="1"/>
  <c r="E7" i="1"/>
  <c r="D7" i="1"/>
  <c r="C7" i="1"/>
  <c r="B7" i="1"/>
  <c r="G30" i="1" l="1"/>
  <c r="G46" i="1"/>
</calcChain>
</file>

<file path=xl/sharedStrings.xml><?xml version="1.0" encoding="utf-8"?>
<sst xmlns="http://schemas.openxmlformats.org/spreadsheetml/2006/main" count="59" uniqueCount="20">
  <si>
    <t>Information</t>
  </si>
  <si>
    <t>Penilaian</t>
  </si>
  <si>
    <t>STS(1)</t>
  </si>
  <si>
    <t>TS (2)</t>
  </si>
  <si>
    <t>N (3)</t>
  </si>
  <si>
    <t>S (4)</t>
  </si>
  <si>
    <t>SS (5)</t>
  </si>
  <si>
    <t>Pertanyaan 1</t>
  </si>
  <si>
    <t>Pertanyaan 2</t>
  </si>
  <si>
    <t>Economy</t>
  </si>
  <si>
    <t>STS (1)</t>
  </si>
  <si>
    <t xml:space="preserve">TS (2) </t>
  </si>
  <si>
    <t>Control</t>
  </si>
  <si>
    <t>Efficiency</t>
  </si>
  <si>
    <t>Service</t>
  </si>
  <si>
    <t>sangat tidak setuju </t>
  </si>
  <si>
    <t xml:space="preserve"> sangat setuju </t>
  </si>
  <si>
    <t>tidak puas</t>
  </si>
  <si>
    <t>cukup puas</t>
  </si>
  <si>
    <t>puas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</si>
</sst>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Lembar1!$M$11:$M$16</c:f>
              <c:numCache>
                <c:formatCode>General</c:formatCode>
                <c:ptCount val="6"/>
                <c:pt idx="0">
                  <c:v>4</c:v>
                </c:pt>
                <c:pt idx="1">
                  <c:v>3.7083333333333335</c:v>
                </c:pt>
                <c:pt idx="2">
                  <c:v>2.8333333333333335</c:v>
                </c:pt>
                <c:pt idx="3">
                  <c:v>3.25</c:v>
                </c:pt>
                <c:pt idx="4">
                  <c:v>2.5416666666666665</c:v>
                </c:pt>
                <c:pt idx="5">
                  <c:v>2.875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E-4D7D-8CCD-3A7FC4723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294511"/>
        <c:axId val="1680287791"/>
      </c:radarChart>
      <c:catAx>
        <c:axId val="1680294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87791"/>
        <c:crosses val="autoZero"/>
        <c:auto val="1"/>
        <c:lblAlgn val="ctr"/>
        <c:lblOffset val="100"/>
        <c:noMultiLvlLbl val="0"/>
      </c:catAx>
      <c:valAx>
        <c:axId val="168028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9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440120</xdr:colOff>
      <xdr:row>9</xdr:row>
      <xdr:rowOff>98205</xdr:rowOff>
    </xdr:from>
    <xdr:to>
      <xdr:col>20</xdr:col>
      <xdr:colOff>167508</xdr:colOff>
      <xdr:row>23</xdr:row>
      <xdr:rowOff>82440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62CF56DB-0132-AE3D-59A4-F426CEF2B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4B6B-9883-4FEB-9F40-A2626892646D}">
  <dimension ref="A2:P46"/>
  <sheetViews>
    <sheetView tabSelected="1" topLeftCell="A11" zoomScale="74" workbookViewId="0">
      <selection activeCell="G3" sqref="G3"/>
    </sheetView>
  </sheetViews>
  <sheetFormatPr defaultRowHeight="15" x14ac:dyDescent="0.25"/>
  <cols>
    <col min="1" max="1" width="11.42578125" customWidth="1"/>
    <col min="16" max="16" width="21.28515625" bestFit="1" customWidth="1"/>
  </cols>
  <sheetData>
    <row r="2" spans="1:16" ht="15.75" x14ac:dyDescent="0.25">
      <c r="A2" s="1" t="s">
        <v>0</v>
      </c>
    </row>
    <row r="3" spans="1:16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N3" s="2">
        <v>1</v>
      </c>
      <c r="O3" s="2">
        <v>1.8</v>
      </c>
      <c r="P3" s="3" t="s">
        <v>15</v>
      </c>
    </row>
    <row r="4" spans="1:16" ht="15.75" x14ac:dyDescent="0.25">
      <c r="A4" s="2" t="s">
        <v>7</v>
      </c>
      <c r="B4" s="2">
        <v>1</v>
      </c>
      <c r="C4" s="2">
        <v>3</v>
      </c>
      <c r="D4" s="2">
        <v>2</v>
      </c>
      <c r="E4" s="2">
        <v>6</v>
      </c>
      <c r="F4" s="2">
        <v>2</v>
      </c>
      <c r="N4" s="2">
        <v>1.81</v>
      </c>
      <c r="O4" s="2">
        <v>2.6</v>
      </c>
      <c r="P4" s="4" t="s">
        <v>17</v>
      </c>
    </row>
    <row r="5" spans="1:16" ht="15.75" x14ac:dyDescent="0.25">
      <c r="A5" s="2" t="s">
        <v>8</v>
      </c>
      <c r="B5" s="2">
        <v>3</v>
      </c>
      <c r="C5" s="2">
        <v>2</v>
      </c>
      <c r="D5" s="2">
        <v>1</v>
      </c>
      <c r="E5" s="2">
        <v>6</v>
      </c>
      <c r="F5" s="2">
        <v>3</v>
      </c>
      <c r="N5" s="2">
        <v>2.61</v>
      </c>
      <c r="O5" s="2">
        <v>3.4</v>
      </c>
      <c r="P5" s="4" t="s">
        <v>18</v>
      </c>
    </row>
    <row r="6" spans="1:16" ht="15.75" x14ac:dyDescent="0.25">
      <c r="A6" s="2"/>
      <c r="B6" s="2">
        <v>4</v>
      </c>
      <c r="C6" s="2">
        <v>5</v>
      </c>
      <c r="D6" s="2">
        <v>3</v>
      </c>
      <c r="E6" s="2">
        <v>12</v>
      </c>
      <c r="F6" s="2">
        <v>5</v>
      </c>
      <c r="N6" s="2">
        <v>3.41</v>
      </c>
      <c r="O6" s="2">
        <v>4.2</v>
      </c>
      <c r="P6" s="4" t="s">
        <v>19</v>
      </c>
    </row>
    <row r="7" spans="1:16" ht="31.5" x14ac:dyDescent="0.25">
      <c r="A7" s="2"/>
      <c r="B7" s="2">
        <f>B6*1</f>
        <v>4</v>
      </c>
      <c r="C7" s="2">
        <f>C6*2</f>
        <v>10</v>
      </c>
      <c r="D7" s="2">
        <f>D6*3</f>
        <v>9</v>
      </c>
      <c r="E7" s="2">
        <f>E6*4</f>
        <v>48</v>
      </c>
      <c r="F7" s="2">
        <f>F6*5</f>
        <v>25</v>
      </c>
      <c r="G7">
        <f>SUM(B7:F7)</f>
        <v>96</v>
      </c>
      <c r="H7">
        <f>G7/24</f>
        <v>4</v>
      </c>
      <c r="N7" s="2">
        <v>4.21</v>
      </c>
      <c r="O7" s="2">
        <v>5</v>
      </c>
      <c r="P7" s="4" t="s">
        <v>16</v>
      </c>
    </row>
    <row r="9" spans="1:16" ht="15.75" x14ac:dyDescent="0.25">
      <c r="A9" s="1" t="s">
        <v>9</v>
      </c>
    </row>
    <row r="10" spans="1:16" ht="15.75" x14ac:dyDescent="0.25">
      <c r="A10" s="2" t="s">
        <v>1</v>
      </c>
      <c r="B10" s="2" t="s">
        <v>10</v>
      </c>
      <c r="C10" s="2" t="s">
        <v>11</v>
      </c>
      <c r="D10" s="2" t="s">
        <v>4</v>
      </c>
      <c r="E10" s="2" t="s">
        <v>5</v>
      </c>
      <c r="F10" s="2" t="s">
        <v>6</v>
      </c>
    </row>
    <row r="11" spans="1:16" ht="15.75" x14ac:dyDescent="0.25">
      <c r="A11" s="2" t="s">
        <v>7</v>
      </c>
      <c r="B11" s="2">
        <v>2</v>
      </c>
      <c r="C11" s="2">
        <v>2</v>
      </c>
      <c r="D11" s="2">
        <v>3</v>
      </c>
      <c r="E11" s="2">
        <v>4</v>
      </c>
      <c r="F11" s="2">
        <v>3</v>
      </c>
      <c r="M11">
        <f>H7</f>
        <v>4</v>
      </c>
    </row>
    <row r="12" spans="1:16" ht="15.75" x14ac:dyDescent="0.25">
      <c r="A12" s="2" t="s">
        <v>8</v>
      </c>
      <c r="B12" s="2">
        <v>1</v>
      </c>
      <c r="C12" s="2">
        <v>5</v>
      </c>
      <c r="D12" s="2">
        <v>2</v>
      </c>
      <c r="E12" s="2">
        <v>4</v>
      </c>
      <c r="F12" s="2">
        <v>2</v>
      </c>
      <c r="M12">
        <f>H14</f>
        <v>3.7083333333333335</v>
      </c>
    </row>
    <row r="13" spans="1:16" ht="15.75" x14ac:dyDescent="0.25">
      <c r="A13" s="2"/>
      <c r="B13" s="2">
        <v>3</v>
      </c>
      <c r="C13" s="2">
        <v>7</v>
      </c>
      <c r="D13" s="2">
        <v>5</v>
      </c>
      <c r="E13" s="2">
        <v>8</v>
      </c>
      <c r="F13" s="2">
        <v>5</v>
      </c>
      <c r="M13">
        <f>H22</f>
        <v>2.8333333333333335</v>
      </c>
    </row>
    <row r="14" spans="1:16" ht="15.75" x14ac:dyDescent="0.25">
      <c r="A14" s="2"/>
      <c r="B14" s="2">
        <f>B13*1</f>
        <v>3</v>
      </c>
      <c r="C14" s="2">
        <f>C13*2</f>
        <v>14</v>
      </c>
      <c r="D14" s="2">
        <f>D13*3</f>
        <v>15</v>
      </c>
      <c r="E14" s="2">
        <f>E13*4</f>
        <v>32</v>
      </c>
      <c r="F14" s="2">
        <f>F13*5</f>
        <v>25</v>
      </c>
      <c r="G14">
        <f>SUM(B14:F14)</f>
        <v>89</v>
      </c>
      <c r="H14">
        <f>G14/24</f>
        <v>3.7083333333333335</v>
      </c>
      <c r="M14">
        <f>H30</f>
        <v>3.25</v>
      </c>
    </row>
    <row r="15" spans="1:16" x14ac:dyDescent="0.25">
      <c r="M15">
        <f>H38</f>
        <v>2.5416666666666665</v>
      </c>
    </row>
    <row r="16" spans="1:16" x14ac:dyDescent="0.25">
      <c r="M16">
        <f>H46</f>
        <v>2.875</v>
      </c>
    </row>
    <row r="17" spans="1:8" ht="15.75" x14ac:dyDescent="0.25">
      <c r="A17" s="1" t="s">
        <v>12</v>
      </c>
    </row>
    <row r="18" spans="1:8" ht="15.75" x14ac:dyDescent="0.25">
      <c r="A18" s="2" t="s">
        <v>1</v>
      </c>
      <c r="B18" s="2" t="s">
        <v>10</v>
      </c>
      <c r="C18" s="2" t="s">
        <v>11</v>
      </c>
      <c r="D18" s="2" t="s">
        <v>4</v>
      </c>
      <c r="E18" s="2" t="s">
        <v>5</v>
      </c>
      <c r="F18" s="2" t="s">
        <v>6</v>
      </c>
    </row>
    <row r="19" spans="1:8" ht="15.75" x14ac:dyDescent="0.25">
      <c r="A19" s="2" t="s">
        <v>7</v>
      </c>
      <c r="B19" s="2">
        <v>1</v>
      </c>
      <c r="C19" s="2">
        <v>2</v>
      </c>
      <c r="D19" s="2">
        <v>6</v>
      </c>
      <c r="E19" s="2">
        <v>4</v>
      </c>
      <c r="F19" s="2">
        <v>1</v>
      </c>
    </row>
    <row r="20" spans="1:8" ht="15.75" x14ac:dyDescent="0.25">
      <c r="A20" s="2" t="s">
        <v>8</v>
      </c>
      <c r="B20" s="2">
        <v>4</v>
      </c>
      <c r="C20" s="2">
        <v>1</v>
      </c>
      <c r="D20" s="2">
        <v>7</v>
      </c>
      <c r="E20" s="2">
        <v>2</v>
      </c>
      <c r="F20" s="2"/>
    </row>
    <row r="21" spans="1:8" ht="15.75" x14ac:dyDescent="0.25">
      <c r="A21" s="2"/>
      <c r="B21" s="2">
        <v>5</v>
      </c>
      <c r="C21" s="2">
        <v>3</v>
      </c>
      <c r="D21" s="2">
        <v>13</v>
      </c>
      <c r="E21" s="2">
        <v>6</v>
      </c>
      <c r="F21" s="2">
        <v>1</v>
      </c>
    </row>
    <row r="22" spans="1:8" ht="15.75" x14ac:dyDescent="0.25">
      <c r="A22" s="2"/>
      <c r="B22" s="2">
        <f>B21*1</f>
        <v>5</v>
      </c>
      <c r="C22" s="2">
        <f>C21*2</f>
        <v>6</v>
      </c>
      <c r="D22" s="2">
        <f>D21*3</f>
        <v>39</v>
      </c>
      <c r="E22" s="2">
        <f>E21*4</f>
        <v>24</v>
      </c>
      <c r="F22" s="2">
        <f>F21*5</f>
        <v>5</v>
      </c>
      <c r="G22">
        <f>SUM(D22:F22)</f>
        <v>68</v>
      </c>
      <c r="H22">
        <f>G22/24</f>
        <v>2.8333333333333335</v>
      </c>
    </row>
    <row r="25" spans="1:8" ht="15.75" x14ac:dyDescent="0.25">
      <c r="A25" s="1" t="s">
        <v>13</v>
      </c>
    </row>
    <row r="26" spans="1:8" ht="15.75" x14ac:dyDescent="0.25">
      <c r="A26" s="2" t="s">
        <v>1</v>
      </c>
      <c r="B26" s="2" t="s">
        <v>10</v>
      </c>
      <c r="C26" s="2" t="s">
        <v>11</v>
      </c>
      <c r="D26" s="2" t="s">
        <v>4</v>
      </c>
      <c r="E26" s="2" t="s">
        <v>5</v>
      </c>
      <c r="F26" s="2" t="s">
        <v>6</v>
      </c>
    </row>
    <row r="27" spans="1:8" ht="15.75" x14ac:dyDescent="0.25">
      <c r="A27" s="2" t="s">
        <v>7</v>
      </c>
      <c r="B27" s="2">
        <v>3</v>
      </c>
      <c r="C27" s="2">
        <v>3</v>
      </c>
      <c r="D27" s="2">
        <v>3</v>
      </c>
      <c r="E27" s="2">
        <v>3</v>
      </c>
      <c r="F27" s="2">
        <v>2</v>
      </c>
    </row>
    <row r="28" spans="1:8" ht="15.75" x14ac:dyDescent="0.25">
      <c r="A28" s="2" t="s">
        <v>8</v>
      </c>
      <c r="B28" s="2">
        <v>1</v>
      </c>
      <c r="C28" s="2">
        <v>5</v>
      </c>
      <c r="D28" s="2">
        <v>2</v>
      </c>
      <c r="E28" s="2">
        <v>5</v>
      </c>
      <c r="F28" s="2">
        <v>1</v>
      </c>
    </row>
    <row r="29" spans="1:8" ht="15.75" x14ac:dyDescent="0.25">
      <c r="A29" s="2"/>
      <c r="B29" s="2">
        <v>4</v>
      </c>
      <c r="C29" s="2">
        <v>8</v>
      </c>
      <c r="D29" s="2">
        <v>5</v>
      </c>
      <c r="E29" s="2">
        <v>8</v>
      </c>
      <c r="F29" s="2">
        <v>3</v>
      </c>
    </row>
    <row r="30" spans="1:8" ht="15.75" x14ac:dyDescent="0.25">
      <c r="A30" s="2"/>
      <c r="B30" s="2">
        <f>B29*1</f>
        <v>4</v>
      </c>
      <c r="C30" s="2">
        <f>C29*2</f>
        <v>16</v>
      </c>
      <c r="D30" s="2">
        <f>D29*3</f>
        <v>15</v>
      </c>
      <c r="E30" s="2">
        <f>E29*4</f>
        <v>32</v>
      </c>
      <c r="F30" s="2">
        <f>F29*5</f>
        <v>15</v>
      </c>
      <c r="G30">
        <f>SUM(C30:F30)</f>
        <v>78</v>
      </c>
      <c r="H30">
        <f>G30/24</f>
        <v>3.25</v>
      </c>
    </row>
    <row r="33" spans="1:8" ht="15.75" x14ac:dyDescent="0.25">
      <c r="A33" s="1" t="s">
        <v>14</v>
      </c>
    </row>
    <row r="34" spans="1:8" ht="15.75" x14ac:dyDescent="0.25">
      <c r="A34" s="2" t="s">
        <v>1</v>
      </c>
      <c r="B34" s="2" t="s">
        <v>10</v>
      </c>
      <c r="C34" s="2" t="s">
        <v>11</v>
      </c>
      <c r="D34" s="2" t="s">
        <v>4</v>
      </c>
      <c r="E34" s="2" t="s">
        <v>5</v>
      </c>
      <c r="F34" s="2" t="s">
        <v>6</v>
      </c>
    </row>
    <row r="35" spans="1:8" ht="15.75" x14ac:dyDescent="0.25">
      <c r="A35" s="2" t="s">
        <v>7</v>
      </c>
      <c r="B35" s="2">
        <v>2</v>
      </c>
      <c r="C35" s="2">
        <v>5</v>
      </c>
      <c r="D35" s="2">
        <v>6</v>
      </c>
      <c r="E35" s="2">
        <v>0</v>
      </c>
      <c r="F35" s="2">
        <v>1</v>
      </c>
    </row>
    <row r="36" spans="1:8" ht="15.75" x14ac:dyDescent="0.25">
      <c r="A36" s="2" t="s">
        <v>8</v>
      </c>
      <c r="B36" s="2">
        <v>2</v>
      </c>
      <c r="C36" s="2">
        <v>2</v>
      </c>
      <c r="D36" s="2">
        <v>4</v>
      </c>
      <c r="E36" s="2">
        <v>4</v>
      </c>
      <c r="F36" s="2">
        <v>2</v>
      </c>
    </row>
    <row r="37" spans="1:8" ht="15.75" x14ac:dyDescent="0.25">
      <c r="A37" s="2"/>
      <c r="B37" s="2">
        <v>2</v>
      </c>
      <c r="C37" s="2">
        <v>7</v>
      </c>
      <c r="D37" s="2">
        <v>10</v>
      </c>
      <c r="E37" s="2">
        <v>4</v>
      </c>
      <c r="F37" s="2">
        <v>3</v>
      </c>
    </row>
    <row r="38" spans="1:8" ht="15.75" x14ac:dyDescent="0.25">
      <c r="A38" s="2"/>
      <c r="B38" s="2">
        <f>B37*1</f>
        <v>2</v>
      </c>
      <c r="C38" s="2">
        <f>C37*2</f>
        <v>14</v>
      </c>
      <c r="D38" s="2">
        <f>D37*3</f>
        <v>30</v>
      </c>
      <c r="E38" s="2">
        <f>E37*4</f>
        <v>16</v>
      </c>
      <c r="F38" s="2">
        <f>F37*5</f>
        <v>15</v>
      </c>
      <c r="G38">
        <f>SUM(D38:F38)</f>
        <v>61</v>
      </c>
      <c r="H38">
        <f>G38/24</f>
        <v>2.5416666666666665</v>
      </c>
    </row>
    <row r="41" spans="1:8" ht="15.75" x14ac:dyDescent="0.25">
      <c r="A41" s="1" t="s">
        <v>14</v>
      </c>
    </row>
    <row r="42" spans="1:8" ht="15.75" x14ac:dyDescent="0.25">
      <c r="A42" s="2" t="s">
        <v>1</v>
      </c>
      <c r="B42" s="2" t="s">
        <v>10</v>
      </c>
      <c r="C42" s="2" t="s">
        <v>11</v>
      </c>
      <c r="D42" s="2" t="s">
        <v>4</v>
      </c>
      <c r="E42" s="2" t="s">
        <v>5</v>
      </c>
      <c r="F42" s="2" t="s">
        <v>6</v>
      </c>
    </row>
    <row r="43" spans="1:8" ht="15.75" x14ac:dyDescent="0.25">
      <c r="A43" s="2" t="s">
        <v>7</v>
      </c>
      <c r="B43" s="2">
        <v>1</v>
      </c>
      <c r="C43" s="2">
        <v>2</v>
      </c>
      <c r="D43" s="2">
        <v>4</v>
      </c>
      <c r="E43" s="2">
        <v>4</v>
      </c>
      <c r="F43" s="2">
        <v>2</v>
      </c>
    </row>
    <row r="44" spans="1:8" ht="15.75" x14ac:dyDescent="0.25">
      <c r="A44" s="2" t="s">
        <v>8</v>
      </c>
      <c r="B44" s="2">
        <v>2</v>
      </c>
      <c r="C44" s="2">
        <v>4</v>
      </c>
      <c r="D44" s="2">
        <v>3</v>
      </c>
      <c r="E44" s="2">
        <v>3</v>
      </c>
      <c r="F44" s="2">
        <v>2</v>
      </c>
    </row>
    <row r="45" spans="1:8" ht="15.75" x14ac:dyDescent="0.25">
      <c r="A45" s="2"/>
      <c r="B45" s="2">
        <v>3</v>
      </c>
      <c r="C45" s="2">
        <v>6</v>
      </c>
      <c r="D45" s="2">
        <v>7</v>
      </c>
      <c r="E45" s="2">
        <v>7</v>
      </c>
      <c r="F45" s="2">
        <v>4</v>
      </c>
    </row>
    <row r="46" spans="1:8" ht="15.75" x14ac:dyDescent="0.25">
      <c r="A46" s="2"/>
      <c r="B46" s="2">
        <f>B45*1</f>
        <v>3</v>
      </c>
      <c r="C46" s="2">
        <f>C45*2</f>
        <v>12</v>
      </c>
      <c r="D46" s="2">
        <f>D45*3</f>
        <v>21</v>
      </c>
      <c r="E46" s="2">
        <f>E45*4</f>
        <v>28</v>
      </c>
      <c r="F46" s="2">
        <f>F45*5</f>
        <v>20</v>
      </c>
      <c r="G46">
        <f>SUM(D46:F46)</f>
        <v>69</v>
      </c>
      <c r="H46">
        <f>G46/24</f>
        <v>2.875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2026-05-31T11:05:02Z</dcterms:created>
  <dcterms:modified xsi:type="dcterms:W3CDTF">2026-05-31T12:32:04Z</dcterms:modified>
</cp:coreProperties>
</file>