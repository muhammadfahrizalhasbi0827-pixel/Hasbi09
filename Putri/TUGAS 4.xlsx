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c8254f1a808b18/Documents/Sistem Informasi-Putri/"/>
    </mc:Choice>
  </mc:AlternateContent>
  <xr:revisionPtr revIDLastSave="1" documentId="8_{33F011AE-459B-48CA-B457-677F6A3B3884}" xr6:coauthVersionLast="47" xr6:coauthVersionMax="47" xr10:uidLastSave="{F8B53EB0-3673-4097-891C-85B917DFB91D}"/>
  <bookViews>
    <workbookView xWindow="-110" yWindow="-110" windowWidth="19420" windowHeight="10300" xr2:uid="{EBFE0CB8-92C9-4012-A4F3-B01982B23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13" i="1"/>
  <c r="M12" i="1"/>
  <c r="M11" i="1"/>
  <c r="M10" i="1"/>
  <c r="M9" i="1"/>
  <c r="C40" i="1"/>
  <c r="C41" i="1" s="1"/>
  <c r="D40" i="1"/>
  <c r="D41" i="1" s="1"/>
  <c r="E40" i="1"/>
  <c r="E41" i="1" s="1"/>
  <c r="F40" i="1"/>
  <c r="F41" i="1" s="1"/>
  <c r="B40" i="1"/>
  <c r="B41" i="1" s="1"/>
  <c r="C33" i="1"/>
  <c r="C34" i="1" s="1"/>
  <c r="D33" i="1"/>
  <c r="D34" i="1" s="1"/>
  <c r="E33" i="1"/>
  <c r="E34" i="1" s="1"/>
  <c r="F33" i="1"/>
  <c r="F34" i="1" s="1"/>
  <c r="B33" i="1"/>
  <c r="B34" i="1" s="1"/>
  <c r="G34" i="1" s="1"/>
  <c r="H34" i="1" s="1"/>
  <c r="G25" i="1"/>
  <c r="G24" i="1"/>
  <c r="C26" i="1"/>
  <c r="C27" i="1" s="1"/>
  <c r="D26" i="1"/>
  <c r="D27" i="1" s="1"/>
  <c r="E26" i="1"/>
  <c r="E27" i="1" s="1"/>
  <c r="F26" i="1"/>
  <c r="F27" i="1" s="1"/>
  <c r="B26" i="1"/>
  <c r="B27" i="1" s="1"/>
  <c r="G21" i="1"/>
  <c r="C19" i="1"/>
  <c r="C20" i="1" s="1"/>
  <c r="D19" i="1"/>
  <c r="D20" i="1" s="1"/>
  <c r="E19" i="1"/>
  <c r="E20" i="1" s="1"/>
  <c r="F19" i="1"/>
  <c r="F20" i="1" s="1"/>
  <c r="B19" i="1"/>
  <c r="B20" i="1" s="1"/>
  <c r="C12" i="1"/>
  <c r="C13" i="1" s="1"/>
  <c r="D12" i="1"/>
  <c r="D13" i="1" s="1"/>
  <c r="E12" i="1"/>
  <c r="E13" i="1" s="1"/>
  <c r="F12" i="1"/>
  <c r="F13" i="1" s="1"/>
  <c r="B12" i="1"/>
  <c r="B13" i="1" s="1"/>
  <c r="C5" i="1"/>
  <c r="C6" i="1" s="1"/>
  <c r="D5" i="1"/>
  <c r="D6" i="1" s="1"/>
  <c r="E5" i="1"/>
  <c r="E6" i="1" s="1"/>
  <c r="F5" i="1"/>
  <c r="F6" i="1" s="1"/>
  <c r="B5" i="1"/>
  <c r="B6" i="1" s="1"/>
  <c r="G4" i="1"/>
  <c r="G3" i="1"/>
  <c r="G41" i="1" l="1"/>
  <c r="H41" i="1" s="1"/>
  <c r="G28" i="1"/>
  <c r="G27" i="1"/>
  <c r="G20" i="1"/>
  <c r="H20" i="1" s="1"/>
  <c r="G13" i="1"/>
  <c r="H13" i="1" s="1"/>
  <c r="G7" i="1"/>
  <c r="G6" i="1"/>
  <c r="H27" i="1" l="1"/>
  <c r="H6" i="1"/>
</calcChain>
</file>

<file path=xl/sharedStrings.xml><?xml version="1.0" encoding="utf-8"?>
<sst xmlns="http://schemas.openxmlformats.org/spreadsheetml/2006/main" count="51" uniqueCount="34">
  <si>
    <t>Performance</t>
  </si>
  <si>
    <t>Kriteria</t>
  </si>
  <si>
    <t>Pertanyaan 1</t>
  </si>
  <si>
    <t>Pertanyaan 2</t>
  </si>
  <si>
    <t>Information</t>
  </si>
  <si>
    <t>Control</t>
  </si>
  <si>
    <t>Economy</t>
  </si>
  <si>
    <t>Efficiency</t>
  </si>
  <si>
    <t>Service</t>
  </si>
  <si>
    <t>CP</t>
  </si>
  <si>
    <t>STP (1)</t>
  </si>
  <si>
    <t>TP (2)</t>
  </si>
  <si>
    <t>P (3)</t>
  </si>
  <si>
    <t>CP (4)</t>
  </si>
  <si>
    <t>SP (5)</t>
  </si>
  <si>
    <t>1,81 - 2,60</t>
  </si>
  <si>
    <t>2,61 - 3,40</t>
  </si>
  <si>
    <t>3,41 - 4,20</t>
  </si>
  <si>
    <t>4,21 - 5,00</t>
  </si>
  <si>
    <t>1,00 - 1,80</t>
  </si>
  <si>
    <t>Sangat Tidak Puas</t>
  </si>
  <si>
    <t>Tidak Puas</t>
  </si>
  <si>
    <t>Puas</t>
  </si>
  <si>
    <t>Cukup Puas</t>
  </si>
  <si>
    <t>Sangat Puas</t>
  </si>
  <si>
    <t>Nilai</t>
  </si>
  <si>
    <t>Kesimpulan</t>
  </si>
  <si>
    <t>Keterangan</t>
  </si>
  <si>
    <t>Perpormance</t>
  </si>
  <si>
    <t>information</t>
  </si>
  <si>
    <t>economy</t>
  </si>
  <si>
    <t>control</t>
  </si>
  <si>
    <t>efficiency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</si>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</sst>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3.95</c:v>
                </c:pt>
                <c:pt idx="1">
                  <c:v>3.85</c:v>
                </c:pt>
                <c:pt idx="2">
                  <c:v>4</c:v>
                </c:pt>
                <c:pt idx="3">
                  <c:v>3.55</c:v>
                </c:pt>
                <c:pt idx="4">
                  <c:v>3.9</c:v>
                </c:pt>
                <c:pt idx="5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D-4412-9B0E-B5FFA12E7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895711"/>
        <c:axId val="617896127"/>
      </c:radarChart>
      <c:catAx>
        <c:axId val="61789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96127"/>
        <c:crosses val="autoZero"/>
        <c:auto val="1"/>
        <c:lblAlgn val="ctr"/>
        <c:lblOffset val="100"/>
        <c:noMultiLvlLbl val="0"/>
      </c:catAx>
      <c:valAx>
        <c:axId val="61789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89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16</xdr:row>
      <xdr:rowOff>12700</xdr:rowOff>
    </xdr:from>
    <xdr:to>
      <xdr:col>14</xdr:col>
      <xdr:colOff>234950</xdr:colOff>
      <xdr:row>31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270265-C828-49B6-B8FD-F28EAA3CE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5B24-3189-49FF-8118-834CAAE1F214}">
  <dimension ref="A1:M42"/>
  <sheetViews>
    <sheetView tabSelected="1" workbookViewId="0">
      <selection activeCell="F6" sqref="F6"/>
    </sheetView>
  </sheetViews>
  <sheetFormatPr defaultRowHeight="14.5" x14ac:dyDescent="0.35"/>
  <cols>
    <col min="1" max="1" width="18.1796875" customWidth="1"/>
    <col min="2" max="6" width="8.7265625" style="1"/>
    <col min="8" max="8" width="9.90625" style="1" customWidth="1"/>
    <col min="9" max="9" width="15.453125" style="1" customWidth="1"/>
    <col min="12" max="12" width="14.90625" style="1" customWidth="1"/>
    <col min="13" max="13" width="27.08984375" customWidth="1"/>
  </cols>
  <sheetData>
    <row r="1" spans="1:13" x14ac:dyDescent="0.35">
      <c r="A1" s="2" t="s">
        <v>1</v>
      </c>
      <c r="B1" s="2"/>
      <c r="C1" s="2"/>
      <c r="D1" s="2"/>
      <c r="E1" s="2"/>
      <c r="F1" s="2"/>
      <c r="L1" s="9" t="s">
        <v>1</v>
      </c>
      <c r="M1" s="10"/>
    </row>
    <row r="2" spans="1:13" x14ac:dyDescent="0.35">
      <c r="A2" s="4" t="s">
        <v>0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H2" s="4" t="s">
        <v>25</v>
      </c>
      <c r="I2" s="4" t="s">
        <v>26</v>
      </c>
      <c r="J2" s="13"/>
      <c r="L2" s="11" t="s">
        <v>19</v>
      </c>
      <c r="M2" s="12" t="s">
        <v>20</v>
      </c>
    </row>
    <row r="3" spans="1:13" x14ac:dyDescent="0.35">
      <c r="A3" s="5" t="s">
        <v>2</v>
      </c>
      <c r="B3" s="6">
        <v>0</v>
      </c>
      <c r="C3" s="6">
        <v>0</v>
      </c>
      <c r="D3" s="6">
        <v>2</v>
      </c>
      <c r="E3" s="6">
        <v>6</v>
      </c>
      <c r="F3" s="6">
        <v>2</v>
      </c>
      <c r="G3">
        <f>SUM(B3:F3)</f>
        <v>10</v>
      </c>
      <c r="L3" s="11" t="s">
        <v>15</v>
      </c>
      <c r="M3" s="12" t="s">
        <v>21</v>
      </c>
    </row>
    <row r="4" spans="1:13" x14ac:dyDescent="0.35">
      <c r="A4" s="5" t="s">
        <v>3</v>
      </c>
      <c r="B4" s="6">
        <v>0</v>
      </c>
      <c r="C4" s="6">
        <v>0</v>
      </c>
      <c r="D4" s="6">
        <v>4</v>
      </c>
      <c r="E4" s="6">
        <v>3</v>
      </c>
      <c r="F4" s="6">
        <v>3</v>
      </c>
      <c r="G4">
        <f>SUM(B4:F4)</f>
        <v>10</v>
      </c>
      <c r="L4" s="11" t="s">
        <v>16</v>
      </c>
      <c r="M4" s="12" t="s">
        <v>22</v>
      </c>
    </row>
    <row r="5" spans="1:13" x14ac:dyDescent="0.35">
      <c r="A5" s="7"/>
      <c r="B5" s="8">
        <f>SUM(B3:B4)</f>
        <v>0</v>
      </c>
      <c r="C5" s="8">
        <f t="shared" ref="C5:F5" si="0">SUM(C3:C4)</f>
        <v>0</v>
      </c>
      <c r="D5" s="8">
        <f t="shared" si="0"/>
        <v>6</v>
      </c>
      <c r="E5" s="8">
        <f t="shared" si="0"/>
        <v>9</v>
      </c>
      <c r="F5" s="8">
        <f t="shared" si="0"/>
        <v>5</v>
      </c>
      <c r="L5" s="11" t="s">
        <v>17</v>
      </c>
      <c r="M5" s="12" t="s">
        <v>23</v>
      </c>
    </row>
    <row r="6" spans="1:13" x14ac:dyDescent="0.35">
      <c r="A6" s="7"/>
      <c r="B6" s="8">
        <f>B5*1</f>
        <v>0</v>
      </c>
      <c r="C6" s="8">
        <f>C5*2</f>
        <v>0</v>
      </c>
      <c r="D6" s="8">
        <f>D5*3</f>
        <v>18</v>
      </c>
      <c r="E6" s="8">
        <f>E5*4</f>
        <v>36</v>
      </c>
      <c r="F6" s="8">
        <f>F5*5</f>
        <v>25</v>
      </c>
      <c r="G6">
        <f>SUM(B6:F6)</f>
        <v>79</v>
      </c>
      <c r="H6" s="1">
        <f>G6/G7</f>
        <v>3.95</v>
      </c>
      <c r="I6" s="1" t="s">
        <v>9</v>
      </c>
      <c r="L6" s="11" t="s">
        <v>18</v>
      </c>
      <c r="M6" s="12" t="s">
        <v>24</v>
      </c>
    </row>
    <row r="7" spans="1:13" x14ac:dyDescent="0.35">
      <c r="G7">
        <f>SUM(G3:G4)</f>
        <v>20</v>
      </c>
    </row>
    <row r="8" spans="1:13" x14ac:dyDescent="0.35">
      <c r="L8" s="3" t="s">
        <v>27</v>
      </c>
      <c r="M8" s="14" t="s">
        <v>25</v>
      </c>
    </row>
    <row r="9" spans="1:13" x14ac:dyDescent="0.35">
      <c r="A9" s="4" t="s">
        <v>4</v>
      </c>
      <c r="B9" s="4">
        <v>1</v>
      </c>
      <c r="C9" s="4">
        <v>2</v>
      </c>
      <c r="D9" s="4">
        <v>3</v>
      </c>
      <c r="E9" s="4">
        <v>4</v>
      </c>
      <c r="F9" s="4">
        <v>5</v>
      </c>
      <c r="L9" s="15" t="s">
        <v>28</v>
      </c>
      <c r="M9">
        <f>H6</f>
        <v>3.95</v>
      </c>
    </row>
    <row r="10" spans="1:13" x14ac:dyDescent="0.35">
      <c r="A10" s="5" t="s">
        <v>2</v>
      </c>
      <c r="B10" s="6">
        <v>0</v>
      </c>
      <c r="C10" s="6">
        <v>0</v>
      </c>
      <c r="D10" s="6">
        <v>6</v>
      </c>
      <c r="E10" s="6">
        <v>2</v>
      </c>
      <c r="F10" s="6">
        <v>2</v>
      </c>
      <c r="L10" s="15" t="s">
        <v>29</v>
      </c>
      <c r="M10">
        <f>H13</f>
        <v>3.85</v>
      </c>
    </row>
    <row r="11" spans="1:13" x14ac:dyDescent="0.35">
      <c r="A11" s="5" t="s">
        <v>3</v>
      </c>
      <c r="B11" s="6">
        <v>0</v>
      </c>
      <c r="C11" s="6">
        <v>0</v>
      </c>
      <c r="D11" s="6">
        <v>2</v>
      </c>
      <c r="E11" s="6">
        <v>5</v>
      </c>
      <c r="F11" s="6">
        <v>3</v>
      </c>
      <c r="L11" s="15" t="s">
        <v>30</v>
      </c>
      <c r="M11">
        <f>H20</f>
        <v>4</v>
      </c>
    </row>
    <row r="12" spans="1:13" x14ac:dyDescent="0.35">
      <c r="A12" s="7"/>
      <c r="B12" s="8">
        <f>SUM(B10:B11)</f>
        <v>0</v>
      </c>
      <c r="C12" s="8">
        <f t="shared" ref="C12:F12" si="1">SUM(C10:C11)</f>
        <v>0</v>
      </c>
      <c r="D12" s="8">
        <f t="shared" si="1"/>
        <v>8</v>
      </c>
      <c r="E12" s="8">
        <f t="shared" si="1"/>
        <v>7</v>
      </c>
      <c r="F12" s="8">
        <f t="shared" si="1"/>
        <v>5</v>
      </c>
      <c r="L12" s="15" t="s">
        <v>31</v>
      </c>
      <c r="M12">
        <f>H27</f>
        <v>3.55</v>
      </c>
    </row>
    <row r="13" spans="1:13" x14ac:dyDescent="0.35">
      <c r="A13" s="7"/>
      <c r="B13" s="8">
        <f>B12*1</f>
        <v>0</v>
      </c>
      <c r="C13" s="8">
        <f>C12*2</f>
        <v>0</v>
      </c>
      <c r="D13" s="8">
        <f>D12*3</f>
        <v>24</v>
      </c>
      <c r="E13" s="8">
        <f>E12*4</f>
        <v>28</v>
      </c>
      <c r="F13" s="8">
        <f>F12*5</f>
        <v>25</v>
      </c>
      <c r="G13">
        <f>SUM(B13:F13)</f>
        <v>77</v>
      </c>
      <c r="H13" s="1">
        <f>G13/G14</f>
        <v>3.85</v>
      </c>
      <c r="I13" s="1" t="s">
        <v>9</v>
      </c>
      <c r="L13" s="15" t="s">
        <v>32</v>
      </c>
      <c r="M13">
        <f>H34</f>
        <v>3.9</v>
      </c>
    </row>
    <row r="14" spans="1:13" x14ac:dyDescent="0.35">
      <c r="A14" s="7"/>
      <c r="B14" s="8"/>
      <c r="C14" s="8"/>
      <c r="D14" s="8"/>
      <c r="E14" s="8"/>
      <c r="F14" s="8"/>
      <c r="G14">
        <v>20</v>
      </c>
      <c r="L14" s="15" t="s">
        <v>33</v>
      </c>
      <c r="M14">
        <f>H41</f>
        <v>3.8</v>
      </c>
    </row>
    <row r="15" spans="1:13" x14ac:dyDescent="0.35">
      <c r="A15" s="7"/>
      <c r="B15" s="8"/>
      <c r="C15" s="8"/>
      <c r="D15" s="8"/>
      <c r="E15" s="8"/>
      <c r="F15" s="8"/>
    </row>
    <row r="16" spans="1:13" x14ac:dyDescent="0.35">
      <c r="A16" s="4" t="s">
        <v>6</v>
      </c>
      <c r="B16" s="4">
        <v>1</v>
      </c>
      <c r="C16" s="4">
        <v>2</v>
      </c>
      <c r="D16" s="4">
        <v>3</v>
      </c>
      <c r="E16" s="4">
        <v>4</v>
      </c>
      <c r="F16" s="4">
        <v>5</v>
      </c>
    </row>
    <row r="17" spans="1:9" x14ac:dyDescent="0.35">
      <c r="A17" s="5" t="s">
        <v>2</v>
      </c>
      <c r="B17" s="6">
        <v>0</v>
      </c>
      <c r="C17" s="6">
        <v>0</v>
      </c>
      <c r="D17" s="6">
        <v>3</v>
      </c>
      <c r="E17" s="6">
        <v>3</v>
      </c>
      <c r="F17" s="6">
        <v>4</v>
      </c>
    </row>
    <row r="18" spans="1:9" x14ac:dyDescent="0.35">
      <c r="A18" s="5" t="s">
        <v>3</v>
      </c>
      <c r="B18" s="6">
        <v>0</v>
      </c>
      <c r="C18" s="6">
        <v>0</v>
      </c>
      <c r="D18" s="6">
        <v>5</v>
      </c>
      <c r="E18" s="6">
        <v>1</v>
      </c>
      <c r="F18" s="6">
        <v>4</v>
      </c>
    </row>
    <row r="19" spans="1:9" x14ac:dyDescent="0.35">
      <c r="A19" s="7"/>
      <c r="B19" s="8">
        <f>SUM(B17:B18)</f>
        <v>0</v>
      </c>
      <c r="C19" s="8">
        <f t="shared" ref="C19:F19" si="2">SUM(C17:C18)</f>
        <v>0</v>
      </c>
      <c r="D19" s="8">
        <f t="shared" si="2"/>
        <v>8</v>
      </c>
      <c r="E19" s="8">
        <f t="shared" si="2"/>
        <v>4</v>
      </c>
      <c r="F19" s="8">
        <f t="shared" si="2"/>
        <v>8</v>
      </c>
    </row>
    <row r="20" spans="1:9" x14ac:dyDescent="0.35">
      <c r="A20" s="7"/>
      <c r="B20" s="8">
        <f>B19*1</f>
        <v>0</v>
      </c>
      <c r="C20" s="8">
        <f>C19*2</f>
        <v>0</v>
      </c>
      <c r="D20" s="8">
        <f>D19*3</f>
        <v>24</v>
      </c>
      <c r="E20" s="8">
        <f>E19*4</f>
        <v>16</v>
      </c>
      <c r="F20" s="8">
        <f>F19*5</f>
        <v>40</v>
      </c>
      <c r="G20">
        <f>SUM(B20:F20)</f>
        <v>80</v>
      </c>
      <c r="H20" s="1">
        <f>G20/G21</f>
        <v>4</v>
      </c>
      <c r="I20" s="1" t="s">
        <v>9</v>
      </c>
    </row>
    <row r="21" spans="1:9" x14ac:dyDescent="0.35">
      <c r="A21" s="7"/>
      <c r="B21" s="8"/>
      <c r="C21" s="8"/>
      <c r="D21" s="8"/>
      <c r="E21" s="8"/>
      <c r="F21" s="8"/>
      <c r="G21">
        <f>10+10</f>
        <v>20</v>
      </c>
    </row>
    <row r="23" spans="1:9" x14ac:dyDescent="0.35">
      <c r="A23" s="4" t="s">
        <v>5</v>
      </c>
      <c r="B23" s="4">
        <v>1</v>
      </c>
      <c r="C23" s="4">
        <v>2</v>
      </c>
      <c r="D23" s="4">
        <v>3</v>
      </c>
      <c r="E23" s="4">
        <v>4</v>
      </c>
      <c r="F23" s="4">
        <v>5</v>
      </c>
    </row>
    <row r="24" spans="1:9" x14ac:dyDescent="0.35">
      <c r="A24" s="5" t="s">
        <v>2</v>
      </c>
      <c r="B24" s="6">
        <v>0</v>
      </c>
      <c r="C24" s="6">
        <v>1</v>
      </c>
      <c r="D24" s="6">
        <v>4</v>
      </c>
      <c r="E24" s="6">
        <v>3</v>
      </c>
      <c r="F24" s="6">
        <v>2</v>
      </c>
      <c r="G24">
        <f>SUM(B24:F24)</f>
        <v>10</v>
      </c>
    </row>
    <row r="25" spans="1:9" x14ac:dyDescent="0.35">
      <c r="A25" s="5" t="s">
        <v>3</v>
      </c>
      <c r="B25" s="6">
        <v>0</v>
      </c>
      <c r="C25" s="6">
        <v>2</v>
      </c>
      <c r="D25" s="6">
        <v>3</v>
      </c>
      <c r="E25" s="6">
        <v>3</v>
      </c>
      <c r="F25" s="6">
        <v>2</v>
      </c>
      <c r="G25">
        <f>SUM(B25:F25)</f>
        <v>10</v>
      </c>
    </row>
    <row r="26" spans="1:9" x14ac:dyDescent="0.35">
      <c r="A26" s="7"/>
      <c r="B26" s="8">
        <f>SUM(B24:B25)</f>
        <v>0</v>
      </c>
      <c r="C26" s="8">
        <f t="shared" ref="C26:F26" si="3">SUM(C24:C25)</f>
        <v>3</v>
      </c>
      <c r="D26" s="8">
        <f t="shared" si="3"/>
        <v>7</v>
      </c>
      <c r="E26" s="8">
        <f t="shared" si="3"/>
        <v>6</v>
      </c>
      <c r="F26" s="8">
        <f t="shared" si="3"/>
        <v>4</v>
      </c>
    </row>
    <row r="27" spans="1:9" x14ac:dyDescent="0.35">
      <c r="A27" s="7"/>
      <c r="B27" s="8">
        <f>B26*1</f>
        <v>0</v>
      </c>
      <c r="C27" s="8">
        <f>C26*2</f>
        <v>6</v>
      </c>
      <c r="D27" s="8">
        <f>D26*3</f>
        <v>21</v>
      </c>
      <c r="E27" s="8">
        <f>E26*4</f>
        <v>24</v>
      </c>
      <c r="F27" s="8">
        <f>F26*5</f>
        <v>20</v>
      </c>
      <c r="G27">
        <f>SUM(B27:F27)</f>
        <v>71</v>
      </c>
      <c r="H27" s="1">
        <f>G27/G28</f>
        <v>3.55</v>
      </c>
      <c r="I27" s="1" t="s">
        <v>9</v>
      </c>
    </row>
    <row r="28" spans="1:9" x14ac:dyDescent="0.35">
      <c r="A28" s="7"/>
      <c r="B28" s="8"/>
      <c r="C28" s="8"/>
      <c r="D28" s="8"/>
      <c r="E28" s="8"/>
      <c r="F28" s="8"/>
      <c r="G28">
        <f>SUM(G24:G25)</f>
        <v>20</v>
      </c>
    </row>
    <row r="30" spans="1:9" x14ac:dyDescent="0.35">
      <c r="A30" s="4" t="s">
        <v>7</v>
      </c>
      <c r="B30" s="4">
        <v>1</v>
      </c>
      <c r="C30" s="4">
        <v>2</v>
      </c>
      <c r="D30" s="4">
        <v>3</v>
      </c>
      <c r="E30" s="4">
        <v>4</v>
      </c>
      <c r="F30" s="4">
        <v>5</v>
      </c>
    </row>
    <row r="31" spans="1:9" x14ac:dyDescent="0.35">
      <c r="A31" s="5" t="s">
        <v>2</v>
      </c>
      <c r="B31" s="6">
        <v>1</v>
      </c>
      <c r="C31" s="6">
        <v>0</v>
      </c>
      <c r="D31" s="6">
        <v>1</v>
      </c>
      <c r="E31" s="6">
        <v>3</v>
      </c>
      <c r="F31" s="6">
        <v>5</v>
      </c>
    </row>
    <row r="32" spans="1:9" x14ac:dyDescent="0.35">
      <c r="A32" s="5" t="s">
        <v>3</v>
      </c>
      <c r="B32" s="6">
        <v>0</v>
      </c>
      <c r="C32" s="6">
        <v>0</v>
      </c>
      <c r="D32" s="6">
        <v>5</v>
      </c>
      <c r="E32" s="6">
        <v>3</v>
      </c>
      <c r="F32" s="6">
        <v>2</v>
      </c>
    </row>
    <row r="33" spans="1:9" x14ac:dyDescent="0.35">
      <c r="A33" s="7"/>
      <c r="B33" s="8">
        <f>SUM(B31:B32)</f>
        <v>1</v>
      </c>
      <c r="C33" s="8">
        <f t="shared" ref="C33:F33" si="4">SUM(C31:C32)</f>
        <v>0</v>
      </c>
      <c r="D33" s="8">
        <f t="shared" si="4"/>
        <v>6</v>
      </c>
      <c r="E33" s="8">
        <f t="shared" si="4"/>
        <v>6</v>
      </c>
      <c r="F33" s="8">
        <f t="shared" si="4"/>
        <v>7</v>
      </c>
    </row>
    <row r="34" spans="1:9" x14ac:dyDescent="0.35">
      <c r="A34" s="7"/>
      <c r="B34" s="8">
        <f>B33*1</f>
        <v>1</v>
      </c>
      <c r="C34" s="8">
        <f>C33*2</f>
        <v>0</v>
      </c>
      <c r="D34" s="8">
        <f>D33*3</f>
        <v>18</v>
      </c>
      <c r="E34" s="8">
        <f>E33*4</f>
        <v>24</v>
      </c>
      <c r="F34" s="8">
        <f>F33*5</f>
        <v>35</v>
      </c>
      <c r="G34">
        <f>SUM(B34:F34)</f>
        <v>78</v>
      </c>
      <c r="H34" s="1">
        <f>G34/G35</f>
        <v>3.9</v>
      </c>
      <c r="I34" s="1" t="s">
        <v>9</v>
      </c>
    </row>
    <row r="35" spans="1:9" x14ac:dyDescent="0.35">
      <c r="A35" s="7"/>
      <c r="B35" s="8"/>
      <c r="C35" s="8"/>
      <c r="D35" s="8"/>
      <c r="E35" s="8"/>
      <c r="F35" s="8"/>
      <c r="G35">
        <v>20</v>
      </c>
    </row>
    <row r="37" spans="1:9" x14ac:dyDescent="0.35">
      <c r="A37" s="4" t="s">
        <v>8</v>
      </c>
      <c r="B37" s="4">
        <v>1</v>
      </c>
      <c r="C37" s="4">
        <v>2</v>
      </c>
      <c r="D37" s="4">
        <v>3</v>
      </c>
      <c r="E37" s="4">
        <v>4</v>
      </c>
      <c r="F37" s="4">
        <v>5</v>
      </c>
    </row>
    <row r="38" spans="1:9" x14ac:dyDescent="0.35">
      <c r="A38" s="5" t="s">
        <v>2</v>
      </c>
      <c r="B38" s="6">
        <v>0</v>
      </c>
      <c r="C38" s="6">
        <v>2</v>
      </c>
      <c r="D38" s="6">
        <v>4</v>
      </c>
      <c r="E38" s="6">
        <v>5</v>
      </c>
      <c r="F38" s="6">
        <v>0</v>
      </c>
    </row>
    <row r="39" spans="1:9" x14ac:dyDescent="0.35">
      <c r="A39" s="5" t="s">
        <v>3</v>
      </c>
      <c r="B39" s="6">
        <v>0</v>
      </c>
      <c r="C39" s="6">
        <v>1</v>
      </c>
      <c r="D39" s="6">
        <v>1</v>
      </c>
      <c r="E39" s="6">
        <v>5</v>
      </c>
      <c r="F39" s="6">
        <v>3</v>
      </c>
    </row>
    <row r="40" spans="1:9" x14ac:dyDescent="0.35">
      <c r="B40" s="1">
        <f>SUM(B38:B39)</f>
        <v>0</v>
      </c>
      <c r="C40" s="1">
        <f t="shared" ref="C40:F40" si="5">SUM(C38:C39)</f>
        <v>3</v>
      </c>
      <c r="D40" s="1">
        <f t="shared" si="5"/>
        <v>5</v>
      </c>
      <c r="E40" s="1">
        <f t="shared" si="5"/>
        <v>10</v>
      </c>
      <c r="F40" s="1">
        <f t="shared" si="5"/>
        <v>3</v>
      </c>
    </row>
    <row r="41" spans="1:9" x14ac:dyDescent="0.35">
      <c r="B41" s="1">
        <f>B40*1</f>
        <v>0</v>
      </c>
      <c r="C41" s="1">
        <f>C40*2</f>
        <v>6</v>
      </c>
      <c r="D41" s="1">
        <f>D40*3</f>
        <v>15</v>
      </c>
      <c r="E41" s="1">
        <f>E40*4</f>
        <v>40</v>
      </c>
      <c r="F41" s="1">
        <f>F40*5</f>
        <v>15</v>
      </c>
      <c r="G41">
        <f>SUM(B41:F41)</f>
        <v>76</v>
      </c>
      <c r="H41" s="1">
        <f>G41/G42</f>
        <v>3.8</v>
      </c>
      <c r="I41" s="1" t="s">
        <v>9</v>
      </c>
    </row>
    <row r="42" spans="1:9" x14ac:dyDescent="0.35">
      <c r="G42">
        <v>20</v>
      </c>
    </row>
  </sheetData>
  <mergeCells count="2">
    <mergeCell ref="A1:F1"/>
    <mergeCell ref="L1:M1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Apriliana</cp:lastModifiedBy>
  <dcterms:created xsi:type="dcterms:W3CDTF">2026-05-08T12:37:54Z</dcterms:created>
  <dcterms:modified xsi:type="dcterms:W3CDTF">2026-05-08T14:45:33Z</dcterms:modified>
</cp:coreProperties>
</file>